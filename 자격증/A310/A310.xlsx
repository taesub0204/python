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\Desktop\A310\"/>
    </mc:Choice>
  </mc:AlternateContent>
  <xr:revisionPtr revIDLastSave="0" documentId="13_ncr:1_{91D9BAF8-7D6C-410E-952E-F8E14A2F676E}" xr6:coauthVersionLast="47" xr6:coauthVersionMax="47" xr10:uidLastSave="{00000000-0000-0000-0000-000000000000}"/>
  <bookViews>
    <workbookView xWindow="22932" yWindow="-24" windowWidth="23256" windowHeight="12456" xr2:uid="{08345A76-133D-4AAD-99DC-670401C0F3BD}"/>
  </bookViews>
  <sheets>
    <sheet name="Sheet2" sheetId="2" r:id="rId1"/>
    <sheet name="Sheet1" sheetId="1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J9" i="1"/>
  <c r="J8" i="1"/>
  <c r="J6" i="1"/>
  <c r="J16" i="1"/>
  <c r="J12" i="1"/>
  <c r="I9" i="1"/>
  <c r="K18" i="1" s="1"/>
  <c r="I8" i="1"/>
  <c r="K8" i="1" s="1"/>
  <c r="I6" i="1"/>
  <c r="K6" i="1" s="1"/>
  <c r="I11" i="1"/>
  <c r="J11" i="1" s="1"/>
  <c r="I13" i="1"/>
  <c r="J13" i="1" s="1"/>
  <c r="I7" i="1"/>
  <c r="J7" i="1" s="1"/>
  <c r="I14" i="1"/>
  <c r="J14" i="1" s="1"/>
  <c r="I5" i="1"/>
  <c r="I17" i="1" s="1"/>
  <c r="I16" i="1"/>
  <c r="K16" i="1" s="1"/>
  <c r="I12" i="1"/>
  <c r="K12" i="1" s="1"/>
  <c r="I10" i="1"/>
  <c r="J10" i="1" s="1"/>
  <c r="K10" i="1" s="1"/>
  <c r="I15" i="1"/>
  <c r="J15" i="1" s="1"/>
  <c r="H9" i="1"/>
  <c r="H8" i="1"/>
  <c r="H6" i="1"/>
  <c r="H11" i="1"/>
  <c r="H13" i="1"/>
  <c r="H7" i="1"/>
  <c r="H14" i="1"/>
  <c r="H5" i="1"/>
  <c r="H16" i="1"/>
  <c r="H12" i="1"/>
  <c r="H10" i="1"/>
  <c r="H15" i="1"/>
  <c r="K15" i="1" l="1"/>
  <c r="K14" i="1"/>
  <c r="K7" i="1"/>
  <c r="K13" i="1"/>
  <c r="J5" i="1"/>
  <c r="K11" i="1"/>
  <c r="K9" i="1"/>
  <c r="K22" i="1" l="1"/>
  <c r="J17" i="1"/>
  <c r="K5" i="1"/>
  <c r="K17" i="1" s="1"/>
</calcChain>
</file>

<file path=xl/sharedStrings.xml><?xml version="1.0" encoding="utf-8"?>
<sst xmlns="http://schemas.openxmlformats.org/spreadsheetml/2006/main" count="72" uniqueCount="54">
  <si>
    <t>상품명</t>
    <phoneticPr fontId="1" type="noConversion"/>
  </si>
  <si>
    <t>라면</t>
    <phoneticPr fontId="1" type="noConversion"/>
  </si>
  <si>
    <t>과자</t>
    <phoneticPr fontId="1" type="noConversion"/>
  </si>
  <si>
    <t>음료수</t>
    <phoneticPr fontId="1" type="noConversion"/>
  </si>
  <si>
    <t>성명</t>
  </si>
  <si>
    <t>성명</t>
    <phoneticPr fontId="1" type="noConversion"/>
  </si>
  <si>
    <t>곽해남</t>
  </si>
  <si>
    <t>곽해남</t>
    <phoneticPr fontId="1" type="noConversion"/>
  </si>
  <si>
    <t>김영주</t>
  </si>
  <si>
    <t>김영주</t>
    <phoneticPr fontId="1" type="noConversion"/>
  </si>
  <si>
    <t>김준희</t>
  </si>
  <si>
    <t>김준희</t>
    <phoneticPr fontId="1" type="noConversion"/>
  </si>
  <si>
    <t>김희숙</t>
  </si>
  <si>
    <t>김희숙</t>
    <phoneticPr fontId="1" type="noConversion"/>
  </si>
  <si>
    <t>박수진</t>
  </si>
  <si>
    <t>박수진</t>
    <phoneticPr fontId="1" type="noConversion"/>
  </si>
  <si>
    <t>이남호</t>
    <phoneticPr fontId="1" type="noConversion"/>
  </si>
  <si>
    <t>이수영</t>
  </si>
  <si>
    <t>이수영</t>
    <phoneticPr fontId="1" type="noConversion"/>
  </si>
  <si>
    <t>이지성</t>
  </si>
  <si>
    <t>이지성</t>
    <phoneticPr fontId="1" type="noConversion"/>
  </si>
  <si>
    <t>조영숙</t>
  </si>
  <si>
    <t>조영숙</t>
    <phoneticPr fontId="1" type="noConversion"/>
  </si>
  <si>
    <t>표진영</t>
    <phoneticPr fontId="1" type="noConversion"/>
  </si>
  <si>
    <t>하석주</t>
  </si>
  <si>
    <t>하석주</t>
    <phoneticPr fontId="1" type="noConversion"/>
  </si>
  <si>
    <t>황현철</t>
  </si>
  <si>
    <t>황현철</t>
    <phoneticPr fontId="1" type="noConversion"/>
  </si>
  <si>
    <t>성별
코드</t>
    <phoneticPr fontId="1" type="noConversion"/>
  </si>
  <si>
    <t>연령</t>
    <phoneticPr fontId="1" type="noConversion"/>
  </si>
  <si>
    <t>주문
수량</t>
    <phoneticPr fontId="1" type="noConversion"/>
  </si>
  <si>
    <t>할인율</t>
  </si>
  <si>
    <t>할인율</t>
    <phoneticPr fontId="1" type="noConversion"/>
  </si>
  <si>
    <t>성별</t>
    <phoneticPr fontId="1" type="noConversion"/>
  </si>
  <si>
    <t>주문금액</t>
    <phoneticPr fontId="1" type="noConversion"/>
  </si>
  <si>
    <t>할인금액</t>
    <phoneticPr fontId="1" type="noConversion"/>
  </si>
  <si>
    <t>계산금액</t>
    <phoneticPr fontId="1" type="noConversion"/>
  </si>
  <si>
    <t>평균</t>
    <phoneticPr fontId="1" type="noConversion"/>
  </si>
  <si>
    <t>주문수량이 20개 미만인 상품들의 주문금액 합계</t>
    <phoneticPr fontId="1" type="noConversion"/>
  </si>
  <si>
    <t>성명에 '영'이 포함되어 있는 사람의 수</t>
    <phoneticPr fontId="1" type="noConversion"/>
  </si>
  <si>
    <t>할인 금액이 10000 이상 20000미만인 합</t>
    <phoneticPr fontId="1" type="noConversion"/>
  </si>
  <si>
    <t>상품별 주문 금액 계산</t>
    <phoneticPr fontId="1" type="noConversion"/>
  </si>
  <si>
    <t>=SUMIFS(I5:I16,F5:F16,"&lt;20")</t>
    <phoneticPr fontId="1" type="noConversion"/>
  </si>
  <si>
    <t>=COUNTIF(C5:C16,"*영*")&amp;"명"</t>
    <phoneticPr fontId="1" type="noConversion"/>
  </si>
  <si>
    <t>=SUMIFS(K5:K16,J5:J16,"&gt;=10000",J5:J16,"&lt;20000")</t>
    <phoneticPr fontId="1" type="noConversion"/>
  </si>
  <si>
    <t>총합계</t>
  </si>
  <si>
    <t>합계 : 할인금액</t>
  </si>
  <si>
    <t>합계 : 계산금액</t>
  </si>
  <si>
    <t>비회원</t>
  </si>
  <si>
    <t>회원</t>
  </si>
  <si>
    <t>우수회원</t>
  </si>
  <si>
    <t>회원구분</t>
  </si>
  <si>
    <t>피벗테이블 조정1</t>
    <phoneticPr fontId="1" type="noConversion"/>
  </si>
  <si>
    <t>피벗테이블 조정2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</si>
</sst>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9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/>
    </xf>
    <xf numFmtId="42" fontId="0" fillId="0" borderId="1" xfId="0" applyNumberFormat="1" applyBorder="1" applyAlignment="1">
      <alignment horizontal="center" vertical="center" wrapText="1"/>
    </xf>
    <xf numFmtId="42" fontId="0" fillId="0" borderId="1" xfId="0" applyNumberFormat="1" applyBorder="1">
      <alignment vertical="center"/>
    </xf>
    <xf numFmtId="0" fontId="0" fillId="0" borderId="1" xfId="0" pivotButton="1" applyBorder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9" fontId="0" fillId="0" borderId="1" xfId="0" applyNumberFormat="1" applyBorder="1">
      <alignment vertical="center"/>
    </xf>
    <xf numFmtId="0" fontId="0" fillId="0" borderId="3" xfId="0" pivotButton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9" fontId="0" fillId="0" borderId="4" xfId="0" applyNumberFormat="1" applyBorder="1">
      <alignment vertical="center"/>
    </xf>
    <xf numFmtId="0" fontId="0" fillId="0" borderId="5" xfId="0" applyBorder="1">
      <alignment vertical="center"/>
    </xf>
    <xf numFmtId="179" fontId="0" fillId="0" borderId="5" xfId="0" applyNumberFormat="1" applyBorder="1">
      <alignment vertical="center"/>
    </xf>
    <xf numFmtId="179" fontId="0" fillId="0" borderId="3" xfId="0" applyNumberFormat="1" applyBorder="1">
      <alignment vertical="center"/>
    </xf>
  </cellXfs>
  <cellStyles count="1">
    <cellStyle name="표준" xfId="0" builtinId="0"/>
  </cellStyles>
  <dxfs count="184"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numFmt numFmtId="179" formatCode="#,##0_ 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numFmt numFmtId="179" formatCode="#,##0_ 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numFmt numFmtId="179" formatCode="#,##0_ 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numFmt numFmtId="179" formatCode="#,##0_ 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numFmt numFmtId="179" formatCode="#,##0_ 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9" formatCode="#,##0_ 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9" formatCode="#,##0_ 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9" formatCode="#,##0_ 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  <dxf>
      <numFmt numFmtId="179" formatCode="#,##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여성 주문 금액 계산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 주문금액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Sheet1!$C$5:$C$9</c:f>
              <c:strCache>
                <c:ptCount val="5"/>
                <c:pt idx="0">
                  <c:v>조영숙</c:v>
                </c:pt>
                <c:pt idx="1">
                  <c:v>김희숙</c:v>
                </c:pt>
                <c:pt idx="2">
                  <c:v>이수영</c:v>
                </c:pt>
                <c:pt idx="3">
                  <c:v>김준희</c:v>
                </c:pt>
                <c:pt idx="4">
                  <c:v>김영주</c:v>
                </c:pt>
              </c:strCache>
            </c:strRef>
          </c:cat>
          <c:val>
            <c:numRef>
              <c:f>Sheet1!$I$5:$I$9</c:f>
              <c:numCache>
                <c:formatCode>_("₩"* #,##0_);_("₩"* \(#,##0\);_("₩"* "-"_);_(@_)</c:formatCode>
                <c:ptCount val="5"/>
                <c:pt idx="0">
                  <c:v>338800</c:v>
                </c:pt>
                <c:pt idx="1">
                  <c:v>214500</c:v>
                </c:pt>
                <c:pt idx="2">
                  <c:v>184800</c:v>
                </c:pt>
                <c:pt idx="3">
                  <c:v>177100</c:v>
                </c:pt>
                <c:pt idx="4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6-4656-929B-4F8697AD6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392576"/>
        <c:axId val="80391616"/>
      </c:barChart>
      <c:lineChart>
        <c:grouping val="standard"/>
        <c:varyColors val="0"/>
        <c:ser>
          <c:idx val="1"/>
          <c:order val="1"/>
          <c:tx>
            <c:strRef>
              <c:f>Sheet1!$K$4</c:f>
              <c:strCache>
                <c:ptCount val="1"/>
                <c:pt idx="0">
                  <c:v> 계산금액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Sheet1!$C$5:$C$9</c:f>
              <c:strCache>
                <c:ptCount val="5"/>
                <c:pt idx="0">
                  <c:v>조영숙</c:v>
                </c:pt>
                <c:pt idx="1">
                  <c:v>김희숙</c:v>
                </c:pt>
                <c:pt idx="2">
                  <c:v>이수영</c:v>
                </c:pt>
                <c:pt idx="3">
                  <c:v>김준희</c:v>
                </c:pt>
                <c:pt idx="4">
                  <c:v>김영주</c:v>
                </c:pt>
              </c:strCache>
            </c:strRef>
          </c:cat>
          <c:val>
            <c:numRef>
              <c:f>Sheet1!$K$5:$K$9</c:f>
              <c:numCache>
                <c:formatCode>_("₩"* #,##0_);_("₩"* \(#,##0\);_("₩"* "-"_);_(@_)</c:formatCode>
                <c:ptCount val="5"/>
                <c:pt idx="0">
                  <c:v>304920</c:v>
                </c:pt>
                <c:pt idx="1">
                  <c:v>203775</c:v>
                </c:pt>
                <c:pt idx="2">
                  <c:v>166320</c:v>
                </c:pt>
                <c:pt idx="3">
                  <c:v>159390</c:v>
                </c:pt>
                <c:pt idx="4">
                  <c:v>70070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6-4656-929B-4F8697AD6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92576"/>
        <c:axId val="80391616"/>
      </c:lineChart>
      <c:catAx>
        <c:axId val="8039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성명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91616"/>
        <c:crosses val="autoZero"/>
        <c:auto val="1"/>
        <c:lblAlgn val="ctr"/>
        <c:lblOffset val="100"/>
        <c:noMultiLvlLbl val="0"/>
      </c:catAx>
      <c:valAx>
        <c:axId val="8039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금액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&quot;₩&quot;* #,##0_);_(&quot;₩&quot;* \(#,##0\);_(&quot;₩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39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672352</xdr:colOff>
      <xdr:row>23</xdr:row>
      <xdr:rowOff>206189</xdr:rowOff>
    </xdr:from>
    <xdr:to>
      <xdr:col>10</xdr:col>
      <xdr:colOff>887505</xdr:colOff>
      <xdr:row>36</xdr:row>
      <xdr:rowOff>35860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E166DF2-F6CF-C8FA-FBF1-6349BCC87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ART" refreshedDate="46195.951848842589" createdVersion="8" refreshedVersion="8" minRefreshableVersion="3" recordCount="12" xr:uid="{97D84821-7BA1-444D-92E7-A14908BBD4D1}">
  <cacheSource type="worksheet">
    <worksheetSource ref="B4:K16" sheet="Sheet1"/>
  </cacheSource>
  <cacheFields count="11">
    <cacheField name="상품명" numFmtId="0">
      <sharedItems/>
    </cacheField>
    <cacheField name="성명" numFmtId="0">
      <sharedItems count="12">
        <s v="조영숙"/>
        <s v="김희숙"/>
        <s v="이수영"/>
        <s v="김준희"/>
        <s v="김영주"/>
        <s v="황현철"/>
        <s v="박수진"/>
        <s v="하석주"/>
        <s v="이남호"/>
        <s v="이지성"/>
        <s v="곽해남"/>
        <s v="표진영"/>
      </sharedItems>
    </cacheField>
    <cacheField name="성별_x000a_코드" numFmtId="0">
      <sharedItems containsSemiMixedTypes="0" containsString="0" containsNumber="1" containsInteger="1" minValue="1" maxValue="2"/>
    </cacheField>
    <cacheField name="연령" numFmtId="0">
      <sharedItems containsSemiMixedTypes="0" containsString="0" containsNumber="1" containsInteger="1" minValue="18" maxValue="55"/>
    </cacheField>
    <cacheField name="주문_x000a_수량" numFmtId="0">
      <sharedItems containsSemiMixedTypes="0" containsString="0" containsNumber="1" containsInteger="1" minValue="11" maxValue="44"/>
    </cacheField>
    <cacheField name="할인율" numFmtId="9">
      <sharedItems containsSemiMixedTypes="0" containsString="0" containsNumber="1" minValue="0.02" maxValue="0.1" count="4">
        <n v="0.1"/>
        <n v="0.05"/>
        <n v="0.02"/>
        <n v="7.0000000000000007E-2"/>
      </sharedItems>
      <fieldGroup par="10"/>
    </cacheField>
    <cacheField name="성별" numFmtId="0">
      <sharedItems/>
    </cacheField>
    <cacheField name="주문금액" numFmtId="42">
      <sharedItems containsSemiMixedTypes="0" containsString="0" containsNumber="1" containsInteger="1" minValue="71500" maxValue="338800"/>
    </cacheField>
    <cacheField name="할인금액" numFmtId="42">
      <sharedItems containsSemiMixedTypes="0" containsString="0" containsNumber="1" minValue="1430" maxValue="33880" count="12">
        <n v="33880"/>
        <n v="10725"/>
        <n v="18480"/>
        <n v="17710"/>
        <n v="1430"/>
        <n v="14630"/>
        <n v="26000"/>
        <n v="7700"/>
        <n v="7700.0000000000009"/>
        <n v="1760"/>
        <n v="4125"/>
        <n v="5460.0000000000009"/>
      </sharedItems>
    </cacheField>
    <cacheField name="계산금액" numFmtId="42">
      <sharedItems containsSemiMixedTypes="0" containsString="0" containsNumber="1" containsInteger="1" minValue="70070" maxValue="304920"/>
    </cacheField>
    <cacheField name="할인율2" numFmtId="0" databaseField="0">
      <fieldGroup base="5">
        <discretePr count="4">
          <x v="0"/>
          <x v="2"/>
          <x v="1"/>
          <x v="2"/>
        </discretePr>
        <groupItems count="3">
          <n v="0.1"/>
          <n v="0.02"/>
          <s v="그룹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음료수"/>
    <x v="0"/>
    <n v="2"/>
    <n v="55"/>
    <n v="44"/>
    <x v="0"/>
    <s v="여성"/>
    <n v="338800"/>
    <x v="0"/>
    <n v="304920"/>
  </r>
  <r>
    <s v="과자"/>
    <x v="1"/>
    <n v="2"/>
    <n v="26"/>
    <n v="33"/>
    <x v="1"/>
    <s v="여성"/>
    <n v="214500"/>
    <x v="1"/>
    <n v="203775"/>
  </r>
  <r>
    <s v="음료수"/>
    <x v="2"/>
    <n v="2"/>
    <n v="44"/>
    <n v="24"/>
    <x v="0"/>
    <s v="여성"/>
    <n v="184800"/>
    <x v="2"/>
    <n v="166320"/>
  </r>
  <r>
    <s v="음료수"/>
    <x v="3"/>
    <n v="2"/>
    <n v="52"/>
    <n v="23"/>
    <x v="0"/>
    <s v="여성"/>
    <n v="177100"/>
    <x v="3"/>
    <n v="159390"/>
  </r>
  <r>
    <s v="과자"/>
    <x v="4"/>
    <n v="2"/>
    <n v="19"/>
    <n v="11"/>
    <x v="2"/>
    <s v="여성"/>
    <n v="71500"/>
    <x v="4"/>
    <n v="70070"/>
  </r>
  <r>
    <s v="음료수"/>
    <x v="5"/>
    <n v="1"/>
    <n v="22"/>
    <n v="38"/>
    <x v="1"/>
    <s v="남성"/>
    <n v="292600"/>
    <x v="5"/>
    <n v="277970"/>
  </r>
  <r>
    <s v="과자"/>
    <x v="6"/>
    <n v="1"/>
    <n v="48"/>
    <n v="40"/>
    <x v="0"/>
    <s v="남성"/>
    <n v="260000"/>
    <x v="6"/>
    <n v="234000"/>
  </r>
  <r>
    <s v="라면"/>
    <x v="7"/>
    <n v="1"/>
    <n v="24"/>
    <n v="28"/>
    <x v="1"/>
    <s v="남성"/>
    <n v="154000"/>
    <x v="7"/>
    <n v="146300"/>
  </r>
  <r>
    <s v="라면"/>
    <x v="8"/>
    <n v="1"/>
    <n v="34"/>
    <n v="20"/>
    <x v="3"/>
    <s v="남성"/>
    <n v="110000"/>
    <x v="8"/>
    <n v="102300"/>
  </r>
  <r>
    <s v="라면"/>
    <x v="9"/>
    <n v="1"/>
    <n v="18"/>
    <n v="16"/>
    <x v="2"/>
    <s v="남성"/>
    <n v="88000"/>
    <x v="9"/>
    <n v="86240"/>
  </r>
  <r>
    <s v="라면"/>
    <x v="10"/>
    <n v="1"/>
    <n v="26"/>
    <n v="15"/>
    <x v="1"/>
    <s v="남성"/>
    <n v="82500"/>
    <x v="10"/>
    <n v="78375"/>
  </r>
  <r>
    <s v="과자"/>
    <x v="11"/>
    <n v="1"/>
    <n v="38"/>
    <n v="12"/>
    <x v="3"/>
    <s v="남성"/>
    <n v="78000"/>
    <x v="11"/>
    <n v="725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39380-D4AD-49EE-A59D-6AB815AA9C3D}" name="피벗 테이블5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14:E22" firstHeaderRow="0" firstDataRow="1" firstDataCol="3"/>
  <pivotFields count="11">
    <pivotField compact="0" outline="0" showAll="0"/>
    <pivotField axis="axisRow" compact="0" outline="0" showAll="0">
      <items count="13">
        <item x="10"/>
        <item x="4"/>
        <item x="3"/>
        <item x="1"/>
        <item x="6"/>
        <item x="8"/>
        <item x="2"/>
        <item x="9"/>
        <item x="0"/>
        <item x="11"/>
        <item x="7"/>
        <item x="5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9" outline="0" showAll="0" defaultSubtotal="0">
      <items count="4">
        <item sd="0" x="2"/>
        <item x="1"/>
        <item sd="0" x="3"/>
        <item sd="0" x="0"/>
      </items>
    </pivotField>
    <pivotField compact="0" outline="0" showAll="0"/>
    <pivotField compact="0" numFmtId="42" outline="0" showAll="0"/>
    <pivotField dataField="1" compact="0" numFmtId="42" outline="0" showAll="0">
      <items count="13">
        <item x="4"/>
        <item x="9"/>
        <item x="10"/>
        <item x="11"/>
        <item x="7"/>
        <item x="8"/>
        <item x="1"/>
        <item x="5"/>
        <item x="3"/>
        <item x="2"/>
        <item x="6"/>
        <item x="0"/>
        <item t="default"/>
      </items>
    </pivotField>
    <pivotField dataField="1" compact="0" numFmtId="42" outline="0" showAll="0"/>
    <pivotField name="회원구분" axis="axisRow" compact="0" outline="0" showAll="0" defaultSubtotal="0">
      <items count="3">
        <item n="비회원" x="1"/>
        <item n="회원" x="2"/>
        <item n="우수회원" x="0"/>
      </items>
    </pivotField>
  </pivotFields>
  <rowFields count="3">
    <field x="10"/>
    <field x="5"/>
    <field x="1"/>
  </rowFields>
  <rowItems count="8">
    <i>
      <x/>
      <x/>
    </i>
    <i>
      <x v="1"/>
      <x v="1"/>
      <x/>
    </i>
    <i r="2">
      <x v="3"/>
    </i>
    <i r="2">
      <x v="10"/>
    </i>
    <i r="2">
      <x v="11"/>
    </i>
    <i r="1">
      <x v="2"/>
    </i>
    <i>
      <x v="2"/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할인금액" fld="8" baseField="0" baseItem="0" numFmtId="42"/>
    <dataField name="합계 : 계산금액" fld="9" baseField="0" baseItem="0" numFmtId="42"/>
  </dataFields>
  <formats count="26">
    <format dxfId="94">
      <pivotArea outline="0" collapsedLevelsAreSubtotals="1" fieldPosition="0"/>
    </format>
    <format dxfId="95">
      <pivotArea dataOnly="0" labelOnly="1" outline="0" fieldPosition="0">
        <references count="2">
          <reference field="5" count="1">
            <x v="0"/>
          </reference>
          <reference field="10" count="1" selected="0">
            <x v="0"/>
          </reference>
        </references>
      </pivotArea>
    </format>
    <format dxfId="96">
      <pivotArea dataOnly="0" labelOnly="1" outline="0" fieldPosition="0">
        <references count="2">
          <reference field="5" count="2">
            <x v="1"/>
            <x v="2"/>
          </reference>
          <reference field="10" count="1" selected="0">
            <x v="1"/>
          </reference>
        </references>
      </pivotArea>
    </format>
    <format dxfId="97">
      <pivotArea dataOnly="0" labelOnly="1" outline="0" fieldPosition="0">
        <references count="2">
          <reference field="5" count="1">
            <x v="3"/>
          </reference>
          <reference field="10" count="1" selected="0">
            <x v="2"/>
          </reference>
        </references>
      </pivotArea>
    </format>
    <format dxfId="98">
      <pivotArea type="all" dataOnly="0" outline="0" fieldPosition="0"/>
    </format>
    <format dxfId="99">
      <pivotArea outline="0" collapsedLevelsAreSubtotals="1" fieldPosition="0"/>
    </format>
    <format dxfId="100">
      <pivotArea field="10" type="button" dataOnly="0" labelOnly="1" outline="0" axis="axisRow" fieldPosition="0"/>
    </format>
    <format dxfId="101">
      <pivotArea field="5" type="button" dataOnly="0" labelOnly="1" outline="0" axis="axisRow" fieldPosition="1"/>
    </format>
    <format dxfId="102">
      <pivotArea field="1" type="button" dataOnly="0" labelOnly="1" outline="0" axis="axisRow" fieldPosition="2"/>
    </format>
    <format dxfId="103">
      <pivotArea dataOnly="0" labelOnly="1" outline="0" fieldPosition="0">
        <references count="1">
          <reference field="10" count="0"/>
        </references>
      </pivotArea>
    </format>
    <format dxfId="104">
      <pivotArea dataOnly="0" labelOnly="1" grandRow="1" outline="0" fieldPosition="0"/>
    </format>
    <format dxfId="105">
      <pivotArea dataOnly="0" labelOnly="1" outline="0" fieldPosition="0">
        <references count="2">
          <reference field="5" count="1">
            <x v="0"/>
          </reference>
          <reference field="10" count="1" selected="0">
            <x v="0"/>
          </reference>
        </references>
      </pivotArea>
    </format>
    <format dxfId="106">
      <pivotArea dataOnly="0" labelOnly="1" outline="0" fieldPosition="0">
        <references count="2">
          <reference field="5" count="1">
            <x v="3"/>
          </reference>
          <reference field="10" count="1" selected="0">
            <x v="2"/>
          </reference>
        </references>
      </pivotArea>
    </format>
    <format dxfId="107">
      <pivotArea dataOnly="0" labelOnly="1" outline="0" fieldPosition="0">
        <references count="3">
          <reference field="1" count="2">
            <x v="1"/>
            <x v="7"/>
          </reference>
          <reference field="5" count="1" selected="0">
            <x v="0"/>
          </reference>
          <reference field="10" count="1" selected="0">
            <x v="0"/>
          </reference>
        </references>
      </pivotArea>
    </format>
    <format dxfId="108">
      <pivotArea dataOnly="0" labelOnly="1" outline="0" fieldPosition="0">
        <references count="3">
          <reference field="1" count="4">
            <x v="2"/>
            <x v="4"/>
            <x v="6"/>
            <x v="8"/>
          </reference>
          <reference field="5" count="1" selected="0">
            <x v="3"/>
          </reference>
          <reference field="10" count="1" selected="0">
            <x v="2"/>
          </reference>
        </references>
      </pivotArea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field="1" type="button" dataOnly="0" labelOnly="1" outline="0" axis="axisRow" fieldPosition="2"/>
    </format>
    <format dxfId="111">
      <pivotArea dataOnly="0" labelOnly="1" outline="0" offset="IV256" fieldPosition="0">
        <references count="1">
          <reference field="10" count="1">
            <x v="1"/>
          </reference>
        </references>
      </pivotArea>
    </format>
    <format dxfId="112">
      <pivotArea dataOnly="0" labelOnly="1" outline="0" fieldPosition="0">
        <references count="3">
          <reference field="1" count="2">
            <x v="1"/>
            <x v="7"/>
          </reference>
          <reference field="5" count="1" selected="0">
            <x v="0"/>
          </reference>
          <reference field="10" count="1" selected="0">
            <x v="0"/>
          </reference>
        </references>
      </pivotArea>
    </format>
    <format dxfId="113">
      <pivotArea dataOnly="0" labelOnly="1" outline="0" fieldPosition="0">
        <references count="3">
          <reference field="1" count="4">
            <x v="2"/>
            <x v="4"/>
            <x v="6"/>
            <x v="8"/>
          </reference>
          <reference field="5" count="1" selected="0">
            <x v="3"/>
          </reference>
          <reference field="10" count="1" selected="0">
            <x v="2"/>
          </reference>
        </references>
      </pivotArea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outline="0" fieldPosition="0">
        <references count="2">
          <reference field="5" count="0" selected="0"/>
          <reference field="10" count="0" selected="0"/>
        </references>
      </pivotArea>
    </format>
    <format dxfId="3">
      <pivotArea dataOnly="0" labelOnly="1" outline="0" offset="IV256" fieldPosition="0">
        <references count="2">
          <reference field="5" count="1">
            <x v="0"/>
          </reference>
          <reference field="10" count="1" selected="0">
            <x v="0"/>
          </reference>
        </references>
      </pivotArea>
    </format>
    <format dxfId="2">
      <pivotArea dataOnly="0" labelOnly="1" outline="0" offset="IV256" fieldPosition="0">
        <references count="2">
          <reference field="5" count="1">
            <x v="2"/>
          </reference>
          <reference field="10" count="1" selected="0">
            <x v="1"/>
          </reference>
        </references>
      </pivotArea>
    </format>
    <format dxfId="1">
      <pivotArea dataOnly="0" labelOnly="1" outline="0" offset="IV256" fieldPosition="0">
        <references count="2">
          <reference field="5" count="1">
            <x v="3"/>
          </reference>
          <reference field="10" count="1" selected="0">
            <x v="2"/>
          </reference>
        </references>
      </pivotArea>
    </format>
    <format dxfId="0">
      <pivotArea dataOnly="0" labelOnly="1" outline="0" fieldPosition="0">
        <references count="3">
          <reference field="1" count="4">
            <x v="0"/>
            <x v="3"/>
            <x v="10"/>
            <x v="11"/>
          </reference>
          <reference field="5" count="1" selected="0">
            <x v="1"/>
          </reference>
          <reference field="10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72EB6-5075-4D50-855D-BEAC7A51B682}" name="피벗 테이블3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E11" firstHeaderRow="0" firstDataRow="1" firstDataCol="3"/>
  <pivotFields count="11">
    <pivotField compact="0" outline="0" showAll="0"/>
    <pivotField axis="axisRow" compact="0" outline="0" showAll="0">
      <items count="13">
        <item x="10"/>
        <item x="4"/>
        <item x="3"/>
        <item x="1"/>
        <item x="6"/>
        <item x="8"/>
        <item x="2"/>
        <item x="9"/>
        <item x="0"/>
        <item x="11"/>
        <item x="7"/>
        <item x="5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9" outline="0" showAll="0" defaultSubtotal="0">
      <items count="4">
        <item x="2"/>
        <item x="1"/>
        <item x="3"/>
        <item x="0"/>
      </items>
    </pivotField>
    <pivotField compact="0" outline="0" showAll="0"/>
    <pivotField compact="0" numFmtId="42" outline="0" showAll="0"/>
    <pivotField dataField="1" compact="0" numFmtId="42" outline="0" showAll="0">
      <items count="13">
        <item x="4"/>
        <item x="9"/>
        <item x="10"/>
        <item x="11"/>
        <item x="7"/>
        <item x="8"/>
        <item x="1"/>
        <item x="5"/>
        <item x="3"/>
        <item x="2"/>
        <item x="6"/>
        <item x="0"/>
        <item t="default"/>
      </items>
    </pivotField>
    <pivotField dataField="1" compact="0" numFmtId="42" outline="0" showAll="0"/>
    <pivotField name="회원구분" axis="axisRow" compact="0" outline="0" showAll="0" defaultSubtotal="0">
      <items count="3">
        <item n="비회원" x="1"/>
        <item n="회원" sd="0" x="2"/>
        <item n="우수회원" x="0"/>
      </items>
    </pivotField>
  </pivotFields>
  <rowFields count="3">
    <field x="10"/>
    <field x="5"/>
    <field x="1"/>
  </rowFields>
  <rowItems count="8">
    <i>
      <x/>
      <x/>
      <x v="1"/>
    </i>
    <i r="2">
      <x v="7"/>
    </i>
    <i>
      <x v="1"/>
    </i>
    <i>
      <x v="2"/>
      <x v="3"/>
      <x v="2"/>
    </i>
    <i r="2">
      <x v="4"/>
    </i>
    <i r="2">
      <x v="6"/>
    </i>
    <i r="2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할인금액" fld="8" baseField="0" baseItem="0" numFmtId="42"/>
    <dataField name="합계 : 계산금액" fld="9" baseField="0" baseItem="0" numFmtId="42"/>
  </dataFields>
  <formats count="22">
    <format dxfId="181">
      <pivotArea outline="0" collapsedLevelsAreSubtotals="1" fieldPosition="0"/>
    </format>
    <format dxfId="171">
      <pivotArea dataOnly="0" labelOnly="1" outline="0" fieldPosition="0">
        <references count="2">
          <reference field="5" count="1">
            <x v="0"/>
          </reference>
          <reference field="10" count="1" selected="0">
            <x v="0"/>
          </reference>
        </references>
      </pivotArea>
    </format>
    <format dxfId="170">
      <pivotArea dataOnly="0" labelOnly="1" outline="0" fieldPosition="0">
        <references count="2">
          <reference field="5" count="2">
            <x v="1"/>
            <x v="2"/>
          </reference>
          <reference field="10" count="1" selected="0">
            <x v="1"/>
          </reference>
        </references>
      </pivotArea>
    </format>
    <format dxfId="169">
      <pivotArea dataOnly="0" labelOnly="1" outline="0" fieldPosition="0">
        <references count="2">
          <reference field="5" count="1">
            <x v="3"/>
          </reference>
          <reference field="10" count="1" selected="0">
            <x v="2"/>
          </reference>
        </references>
      </pivotArea>
    </format>
    <format dxfId="138">
      <pivotArea type="all" dataOnly="0" outline="0" fieldPosition="0"/>
    </format>
    <format dxfId="131">
      <pivotArea outline="0" collapsedLevelsAreSubtotals="1" fieldPosition="0"/>
    </format>
    <format dxfId="130">
      <pivotArea field="10" type="button" dataOnly="0" labelOnly="1" outline="0" axis="axisRow" fieldPosition="0"/>
    </format>
    <format dxfId="129">
      <pivotArea field="5" type="button" dataOnly="0" labelOnly="1" outline="0" axis="axisRow" fieldPosition="1"/>
    </format>
    <format dxfId="128">
      <pivotArea field="1" type="button" dataOnly="0" labelOnly="1" outline="0" axis="axisRow" fieldPosition="2"/>
    </format>
    <format dxfId="127">
      <pivotArea dataOnly="0" labelOnly="1" outline="0" fieldPosition="0">
        <references count="1">
          <reference field="10" count="0"/>
        </references>
      </pivotArea>
    </format>
    <format dxfId="126">
      <pivotArea dataOnly="0" labelOnly="1" grandRow="1" outline="0" fieldPosition="0"/>
    </format>
    <format dxfId="125">
      <pivotArea dataOnly="0" labelOnly="1" outline="0" fieldPosition="0">
        <references count="2">
          <reference field="5" count="1">
            <x v="0"/>
          </reference>
          <reference field="10" count="1" selected="0">
            <x v="0"/>
          </reference>
        </references>
      </pivotArea>
    </format>
    <format dxfId="124">
      <pivotArea dataOnly="0" labelOnly="1" outline="0" fieldPosition="0">
        <references count="2">
          <reference field="5" count="1">
            <x v="3"/>
          </reference>
          <reference field="10" count="1" selected="0">
            <x v="2"/>
          </reference>
        </references>
      </pivotArea>
    </format>
    <format dxfId="123">
      <pivotArea dataOnly="0" labelOnly="1" outline="0" fieldPosition="0">
        <references count="3">
          <reference field="1" count="2">
            <x v="1"/>
            <x v="7"/>
          </reference>
          <reference field="5" count="1" selected="0">
            <x v="0"/>
          </reference>
          <reference field="10" count="1" selected="0">
            <x v="0"/>
          </reference>
        </references>
      </pivotArea>
    </format>
    <format dxfId="122">
      <pivotArea dataOnly="0" labelOnly="1" outline="0" fieldPosition="0">
        <references count="3">
          <reference field="1" count="4">
            <x v="2"/>
            <x v="4"/>
            <x v="6"/>
            <x v="8"/>
          </reference>
          <reference field="5" count="1" selected="0">
            <x v="3"/>
          </reference>
          <reference field="10" count="1" selected="0">
            <x v="2"/>
          </reference>
        </references>
      </pivotArea>
    </format>
    <format dxfId="1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0">
      <pivotArea outline="0" fieldPosition="0">
        <references count="3">
          <reference field="1" count="7" selected="0">
            <x v="1"/>
            <x v="2"/>
            <x v="4"/>
            <x v="6"/>
            <x v="7"/>
            <x v="8"/>
            <x v="1048832"/>
          </reference>
          <reference field="5" count="3" selected="0">
            <x v="0"/>
            <x v="3"/>
            <x v="1048832"/>
          </reference>
          <reference field="10" count="0" selected="0"/>
        </references>
      </pivotArea>
    </format>
    <format dxfId="119">
      <pivotArea field="1" type="button" dataOnly="0" labelOnly="1" outline="0" axis="axisRow" fieldPosition="2"/>
    </format>
    <format dxfId="118">
      <pivotArea dataOnly="0" labelOnly="1" outline="0" offset="IV256" fieldPosition="0">
        <references count="1">
          <reference field="10" count="1">
            <x v="1"/>
          </reference>
        </references>
      </pivotArea>
    </format>
    <format dxfId="117">
      <pivotArea dataOnly="0" labelOnly="1" outline="0" fieldPosition="0">
        <references count="3">
          <reference field="1" count="2">
            <x v="1"/>
            <x v="7"/>
          </reference>
          <reference field="5" count="1" selected="0">
            <x v="0"/>
          </reference>
          <reference field="10" count="1" selected="0">
            <x v="0"/>
          </reference>
        </references>
      </pivotArea>
    </format>
    <format dxfId="116">
      <pivotArea dataOnly="0" labelOnly="1" outline="0" fieldPosition="0">
        <references count="3">
          <reference field="1" count="4">
            <x v="2"/>
            <x v="4"/>
            <x v="6"/>
            <x v="8"/>
          </reference>
          <reference field="5" count="1" selected="0">
            <x v="3"/>
          </reference>
          <reference field="10" count="1" selected="0">
            <x v="2"/>
          </reference>
        </references>
      </pivotArea>
    </format>
    <format dxfId="1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3B18-B19D-4204-972A-EA32580F6B22}">
  <sheetPr>
    <pageSetUpPr fitToPage="1"/>
  </sheetPr>
  <dimension ref="A2:E22"/>
  <sheetViews>
    <sheetView tabSelected="1" workbookViewId="0">
      <selection activeCell="F2" sqref="F2"/>
    </sheetView>
  </sheetViews>
  <sheetFormatPr defaultRowHeight="17.399999999999999" x14ac:dyDescent="0.4"/>
  <cols>
    <col min="1" max="1" width="11.296875" bestFit="1" customWidth="1"/>
    <col min="2" max="2" width="9.796875" customWidth="1"/>
    <col min="3" max="3" width="7" bestFit="1" customWidth="1"/>
    <col min="4" max="5" width="14.19921875" bestFit="1" customWidth="1"/>
  </cols>
  <sheetData>
    <row r="2" spans="1:5" x14ac:dyDescent="0.4">
      <c r="A2" s="4" t="s">
        <v>52</v>
      </c>
      <c r="B2" s="4"/>
      <c r="C2" s="4"/>
      <c r="D2" s="4"/>
      <c r="E2" s="4"/>
    </row>
    <row r="3" spans="1:5" x14ac:dyDescent="0.4">
      <c r="A3" s="13" t="s">
        <v>51</v>
      </c>
      <c r="B3" s="13" t="s">
        <v>31</v>
      </c>
      <c r="C3" s="17" t="s">
        <v>4</v>
      </c>
      <c r="D3" s="18" t="s">
        <v>46</v>
      </c>
      <c r="E3" s="18" t="s">
        <v>47</v>
      </c>
    </row>
    <row r="4" spans="1:5" x14ac:dyDescent="0.4">
      <c r="A4" s="2" t="s">
        <v>48</v>
      </c>
      <c r="B4" s="14">
        <v>0.02</v>
      </c>
      <c r="C4" s="19" t="s">
        <v>8</v>
      </c>
      <c r="D4" s="20">
        <v>1430</v>
      </c>
      <c r="E4" s="20">
        <v>70070</v>
      </c>
    </row>
    <row r="5" spans="1:5" x14ac:dyDescent="0.4">
      <c r="A5" s="2"/>
      <c r="B5" s="15"/>
      <c r="C5" s="19" t="s">
        <v>19</v>
      </c>
      <c r="D5" s="20">
        <v>1760</v>
      </c>
      <c r="E5" s="20">
        <v>86240</v>
      </c>
    </row>
    <row r="6" spans="1:5" x14ac:dyDescent="0.4">
      <c r="A6" s="2" t="s">
        <v>49</v>
      </c>
      <c r="B6" s="2"/>
      <c r="C6" s="19"/>
      <c r="D6" s="20">
        <v>50340</v>
      </c>
      <c r="E6" s="20">
        <v>881260</v>
      </c>
    </row>
    <row r="7" spans="1:5" x14ac:dyDescent="0.4">
      <c r="A7" s="2" t="s">
        <v>50</v>
      </c>
      <c r="B7" s="14">
        <v>0.1</v>
      </c>
      <c r="C7" s="19" t="s">
        <v>10</v>
      </c>
      <c r="D7" s="20">
        <v>17710</v>
      </c>
      <c r="E7" s="20">
        <v>159390</v>
      </c>
    </row>
    <row r="8" spans="1:5" x14ac:dyDescent="0.4">
      <c r="A8" s="2"/>
      <c r="B8" s="15"/>
      <c r="C8" s="19" t="s">
        <v>14</v>
      </c>
      <c r="D8" s="20">
        <v>26000</v>
      </c>
      <c r="E8" s="20">
        <v>234000</v>
      </c>
    </row>
    <row r="9" spans="1:5" x14ac:dyDescent="0.4">
      <c r="A9" s="2"/>
      <c r="B9" s="15"/>
      <c r="C9" s="19" t="s">
        <v>17</v>
      </c>
      <c r="D9" s="20">
        <v>18480</v>
      </c>
      <c r="E9" s="20">
        <v>166320</v>
      </c>
    </row>
    <row r="10" spans="1:5" x14ac:dyDescent="0.4">
      <c r="A10" s="2"/>
      <c r="B10" s="15"/>
      <c r="C10" s="21" t="s">
        <v>21</v>
      </c>
      <c r="D10" s="22">
        <v>33880</v>
      </c>
      <c r="E10" s="22">
        <v>304920</v>
      </c>
    </row>
    <row r="11" spans="1:5" x14ac:dyDescent="0.4">
      <c r="A11" s="2" t="s">
        <v>45</v>
      </c>
      <c r="B11" s="2"/>
      <c r="C11" s="2"/>
      <c r="D11" s="16">
        <v>149600</v>
      </c>
      <c r="E11" s="16">
        <v>1902200</v>
      </c>
    </row>
    <row r="13" spans="1:5" x14ac:dyDescent="0.4">
      <c r="A13" s="4" t="s">
        <v>53</v>
      </c>
      <c r="B13" s="4"/>
      <c r="C13" s="4"/>
      <c r="D13" s="4"/>
      <c r="E13" s="4"/>
    </row>
    <row r="14" spans="1:5" x14ac:dyDescent="0.4">
      <c r="A14" s="13" t="s">
        <v>51</v>
      </c>
      <c r="B14" s="13" t="s">
        <v>31</v>
      </c>
      <c r="C14" s="13" t="s">
        <v>4</v>
      </c>
      <c r="D14" s="2" t="s">
        <v>46</v>
      </c>
      <c r="E14" s="2" t="s">
        <v>47</v>
      </c>
    </row>
    <row r="15" spans="1:5" x14ac:dyDescent="0.4">
      <c r="A15" s="2" t="s">
        <v>48</v>
      </c>
      <c r="B15" s="14">
        <v>0.02</v>
      </c>
      <c r="C15" s="18"/>
      <c r="D15" s="23">
        <v>3190</v>
      </c>
      <c r="E15" s="23">
        <v>156310</v>
      </c>
    </row>
    <row r="16" spans="1:5" x14ac:dyDescent="0.4">
      <c r="A16" s="2" t="s">
        <v>49</v>
      </c>
      <c r="B16" s="14">
        <v>0.05</v>
      </c>
      <c r="C16" s="19" t="s">
        <v>6</v>
      </c>
      <c r="D16" s="20">
        <v>4125</v>
      </c>
      <c r="E16" s="20">
        <v>78375</v>
      </c>
    </row>
    <row r="17" spans="1:5" x14ac:dyDescent="0.4">
      <c r="A17" s="2"/>
      <c r="B17" s="15"/>
      <c r="C17" s="19" t="s">
        <v>12</v>
      </c>
      <c r="D17" s="20">
        <v>10725</v>
      </c>
      <c r="E17" s="20">
        <v>203775</v>
      </c>
    </row>
    <row r="18" spans="1:5" x14ac:dyDescent="0.4">
      <c r="A18" s="2"/>
      <c r="B18" s="15"/>
      <c r="C18" s="19" t="s">
        <v>24</v>
      </c>
      <c r="D18" s="20">
        <v>7700</v>
      </c>
      <c r="E18" s="20">
        <v>146300</v>
      </c>
    </row>
    <row r="19" spans="1:5" x14ac:dyDescent="0.4">
      <c r="A19" s="2"/>
      <c r="B19" s="15"/>
      <c r="C19" s="19" t="s">
        <v>26</v>
      </c>
      <c r="D19" s="20">
        <v>14630</v>
      </c>
      <c r="E19" s="20">
        <v>277970</v>
      </c>
    </row>
    <row r="20" spans="1:5" x14ac:dyDescent="0.4">
      <c r="A20" s="2"/>
      <c r="B20" s="14">
        <v>7.0000000000000007E-2</v>
      </c>
      <c r="C20" s="19"/>
      <c r="D20" s="20">
        <v>13160.000000000002</v>
      </c>
      <c r="E20" s="20">
        <v>174840</v>
      </c>
    </row>
    <row r="21" spans="1:5" x14ac:dyDescent="0.4">
      <c r="A21" s="2" t="s">
        <v>50</v>
      </c>
      <c r="B21" s="14">
        <v>0.1</v>
      </c>
      <c r="C21" s="21"/>
      <c r="D21" s="22">
        <v>96070</v>
      </c>
      <c r="E21" s="22">
        <v>864630</v>
      </c>
    </row>
    <row r="22" spans="1:5" x14ac:dyDescent="0.4">
      <c r="A22" s="2" t="s">
        <v>45</v>
      </c>
      <c r="B22" s="2"/>
      <c r="C22" s="2"/>
      <c r="D22" s="16">
        <v>149600</v>
      </c>
      <c r="E22" s="16">
        <v>1902200</v>
      </c>
    </row>
  </sheetData>
  <mergeCells count="2">
    <mergeCell ref="A2:E2"/>
    <mergeCell ref="A13:E13"/>
  </mergeCells>
  <phoneticPr fontId="1" type="noConversion"/>
  <pageMargins left="0.70866141732283472" right="0.70866141732283472" top="2.3622047244094491" bottom="0.74803149606299213" header="0.31496062992125984" footer="0.31496062992125984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5B32-DA01-4E40-9D2C-5FA9FC3C368A}">
  <sheetPr>
    <pageSetUpPr fitToPage="1"/>
  </sheetPr>
  <dimension ref="B1:K23"/>
  <sheetViews>
    <sheetView zoomScale="85" zoomScaleNormal="85" workbookViewId="0">
      <selection activeCell="B4" sqref="B4:K16"/>
    </sheetView>
  </sheetViews>
  <sheetFormatPr defaultRowHeight="17.399999999999999" x14ac:dyDescent="0.4"/>
  <cols>
    <col min="4" max="7" width="0" hidden="1" customWidth="1"/>
    <col min="9" max="9" width="11.69921875" customWidth="1"/>
    <col min="10" max="10" width="10.5" bestFit="1" customWidth="1"/>
    <col min="11" max="11" width="11.59765625" bestFit="1" customWidth="1"/>
  </cols>
  <sheetData>
    <row r="1" spans="2:11" x14ac:dyDescent="0.4">
      <c r="B1" s="6" t="s">
        <v>41</v>
      </c>
      <c r="C1" s="1"/>
      <c r="D1" s="1"/>
      <c r="E1" s="1"/>
      <c r="F1" s="1"/>
      <c r="G1" s="1"/>
      <c r="H1" s="1"/>
      <c r="I1" s="1"/>
      <c r="J1" s="1"/>
      <c r="K1" s="1"/>
    </row>
    <row r="2" spans="2:11" x14ac:dyDescent="0.4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x14ac:dyDescent="0.4">
      <c r="B3" s="5"/>
      <c r="C3" s="5"/>
      <c r="D3" s="5"/>
      <c r="E3" s="5"/>
      <c r="F3" s="5"/>
      <c r="G3" s="5"/>
      <c r="H3" s="5"/>
      <c r="I3" s="5"/>
      <c r="J3" s="5"/>
      <c r="K3" s="5"/>
    </row>
    <row r="4" spans="2:11" ht="34.799999999999997" x14ac:dyDescent="0.4">
      <c r="B4" s="8" t="s">
        <v>0</v>
      </c>
      <c r="C4" s="8" t="s">
        <v>5</v>
      </c>
      <c r="D4" s="9" t="s">
        <v>28</v>
      </c>
      <c r="E4" s="8" t="s">
        <v>29</v>
      </c>
      <c r="F4" s="9" t="s">
        <v>30</v>
      </c>
      <c r="G4" s="8" t="s">
        <v>32</v>
      </c>
      <c r="H4" s="9" t="s">
        <v>33</v>
      </c>
      <c r="I4" s="10" t="s">
        <v>34</v>
      </c>
      <c r="J4" s="11" t="s">
        <v>35</v>
      </c>
      <c r="K4" s="10" t="s">
        <v>36</v>
      </c>
    </row>
    <row r="5" spans="2:11" x14ac:dyDescent="0.4">
      <c r="B5" s="8" t="s">
        <v>3</v>
      </c>
      <c r="C5" s="8" t="s">
        <v>22</v>
      </c>
      <c r="D5" s="2">
        <v>2</v>
      </c>
      <c r="E5" s="2">
        <v>55</v>
      </c>
      <c r="F5" s="2">
        <v>44</v>
      </c>
      <c r="G5" s="3">
        <v>0.1</v>
      </c>
      <c r="H5" s="8" t="str">
        <f>IF(D5=1,"남성","여성")</f>
        <v>여성</v>
      </c>
      <c r="I5" s="12">
        <f>F5*IF(B5="라면",5500,IF(B5="과자",6500,7700))</f>
        <v>338800</v>
      </c>
      <c r="J5" s="12">
        <f>I5*G5</f>
        <v>33880</v>
      </c>
      <c r="K5" s="12">
        <f>I5-J5</f>
        <v>304920</v>
      </c>
    </row>
    <row r="6" spans="2:11" x14ac:dyDescent="0.4">
      <c r="B6" s="8" t="s">
        <v>2</v>
      </c>
      <c r="C6" s="8" t="s">
        <v>13</v>
      </c>
      <c r="D6" s="2">
        <v>2</v>
      </c>
      <c r="E6" s="2">
        <v>26</v>
      </c>
      <c r="F6" s="2">
        <v>33</v>
      </c>
      <c r="G6" s="3">
        <v>0.05</v>
      </c>
      <c r="H6" s="8" t="str">
        <f>IF(D6=1,"남성","여성")</f>
        <v>여성</v>
      </c>
      <c r="I6" s="12">
        <f>F6*IF(B6="라면",5500,IF(B6="과자",6500,7700))</f>
        <v>214500</v>
      </c>
      <c r="J6" s="12">
        <f>I6*G6</f>
        <v>10725</v>
      </c>
      <c r="K6" s="12">
        <f>I6-J6</f>
        <v>203775</v>
      </c>
    </row>
    <row r="7" spans="2:11" x14ac:dyDescent="0.4">
      <c r="B7" s="8" t="s">
        <v>3</v>
      </c>
      <c r="C7" s="8" t="s">
        <v>18</v>
      </c>
      <c r="D7" s="2">
        <v>2</v>
      </c>
      <c r="E7" s="2">
        <v>44</v>
      </c>
      <c r="F7" s="2">
        <v>24</v>
      </c>
      <c r="G7" s="3">
        <v>0.1</v>
      </c>
      <c r="H7" s="8" t="str">
        <f>IF(D7=1,"남성","여성")</f>
        <v>여성</v>
      </c>
      <c r="I7" s="12">
        <f>F7*IF(B7="라면",5500,IF(B7="과자",6500,7700))</f>
        <v>184800</v>
      </c>
      <c r="J7" s="12">
        <f>I7*G7</f>
        <v>18480</v>
      </c>
      <c r="K7" s="12">
        <f>I7-J7</f>
        <v>166320</v>
      </c>
    </row>
    <row r="8" spans="2:11" x14ac:dyDescent="0.4">
      <c r="B8" s="8" t="s">
        <v>3</v>
      </c>
      <c r="C8" s="8" t="s">
        <v>11</v>
      </c>
      <c r="D8" s="2">
        <v>2</v>
      </c>
      <c r="E8" s="2">
        <v>52</v>
      </c>
      <c r="F8" s="2">
        <v>23</v>
      </c>
      <c r="G8" s="3">
        <v>0.1</v>
      </c>
      <c r="H8" s="8" t="str">
        <f>IF(D8=1,"남성","여성")</f>
        <v>여성</v>
      </c>
      <c r="I8" s="12">
        <f>F8*IF(B8="라면",5500,IF(B8="과자",6500,7700))</f>
        <v>177100</v>
      </c>
      <c r="J8" s="12">
        <f>I8*G8</f>
        <v>17710</v>
      </c>
      <c r="K8" s="12">
        <f>I8-J8</f>
        <v>159390</v>
      </c>
    </row>
    <row r="9" spans="2:11" x14ac:dyDescent="0.4">
      <c r="B9" s="8" t="s">
        <v>2</v>
      </c>
      <c r="C9" s="8" t="s">
        <v>9</v>
      </c>
      <c r="D9" s="2">
        <v>2</v>
      </c>
      <c r="E9" s="2">
        <v>19</v>
      </c>
      <c r="F9" s="2">
        <v>11</v>
      </c>
      <c r="G9" s="3">
        <v>0.02</v>
      </c>
      <c r="H9" s="8" t="str">
        <f>IF(D9=1,"남성","여성")</f>
        <v>여성</v>
      </c>
      <c r="I9" s="12">
        <f>F9*IF(B9="라면",5500,IF(B9="과자",6500,7700))</f>
        <v>71500</v>
      </c>
      <c r="J9" s="12">
        <f>I9*G9</f>
        <v>1430</v>
      </c>
      <c r="K9" s="12">
        <f>I9-J9</f>
        <v>70070</v>
      </c>
    </row>
    <row r="10" spans="2:11" x14ac:dyDescent="0.4">
      <c r="B10" s="8" t="s">
        <v>3</v>
      </c>
      <c r="C10" s="8" t="s">
        <v>27</v>
      </c>
      <c r="D10" s="2">
        <v>1</v>
      </c>
      <c r="E10" s="2">
        <v>22</v>
      </c>
      <c r="F10" s="2">
        <v>38</v>
      </c>
      <c r="G10" s="3">
        <v>0.05</v>
      </c>
      <c r="H10" s="8" t="str">
        <f>IF(D10=1,"남성","여성")</f>
        <v>남성</v>
      </c>
      <c r="I10" s="12">
        <f>F10*IF(B10="라면",5500,IF(B10="과자",6500,7700))</f>
        <v>292600</v>
      </c>
      <c r="J10" s="12">
        <f>I10*G10</f>
        <v>14630</v>
      </c>
      <c r="K10" s="12">
        <f>I10-J10</f>
        <v>277970</v>
      </c>
    </row>
    <row r="11" spans="2:11" x14ac:dyDescent="0.4">
      <c r="B11" s="8" t="s">
        <v>2</v>
      </c>
      <c r="C11" s="8" t="s">
        <v>15</v>
      </c>
      <c r="D11" s="2">
        <v>1</v>
      </c>
      <c r="E11" s="2">
        <v>48</v>
      </c>
      <c r="F11" s="2">
        <v>40</v>
      </c>
      <c r="G11" s="3">
        <v>0.1</v>
      </c>
      <c r="H11" s="8" t="str">
        <f>IF(D11=1,"남성","여성")</f>
        <v>남성</v>
      </c>
      <c r="I11" s="12">
        <f>F11*IF(B11="라면",5500,IF(B11="과자",6500,7700))</f>
        <v>260000</v>
      </c>
      <c r="J11" s="12">
        <f>I11*G11</f>
        <v>26000</v>
      </c>
      <c r="K11" s="12">
        <f>I11-J11</f>
        <v>234000</v>
      </c>
    </row>
    <row r="12" spans="2:11" x14ac:dyDescent="0.4">
      <c r="B12" s="8" t="s">
        <v>1</v>
      </c>
      <c r="C12" s="8" t="s">
        <v>25</v>
      </c>
      <c r="D12" s="2">
        <v>1</v>
      </c>
      <c r="E12" s="2">
        <v>24</v>
      </c>
      <c r="F12" s="2">
        <v>28</v>
      </c>
      <c r="G12" s="3">
        <v>0.05</v>
      </c>
      <c r="H12" s="8" t="str">
        <f>IF(D12=1,"남성","여성")</f>
        <v>남성</v>
      </c>
      <c r="I12" s="12">
        <f>F12*IF(B12="라면",5500,IF(B12="과자",6500,7700))</f>
        <v>154000</v>
      </c>
      <c r="J12" s="12">
        <f>I12*G12</f>
        <v>7700</v>
      </c>
      <c r="K12" s="12">
        <f>I12-J12</f>
        <v>146300</v>
      </c>
    </row>
    <row r="13" spans="2:11" x14ac:dyDescent="0.4">
      <c r="B13" s="8" t="s">
        <v>1</v>
      </c>
      <c r="C13" s="8" t="s">
        <v>16</v>
      </c>
      <c r="D13" s="2">
        <v>1</v>
      </c>
      <c r="E13" s="2">
        <v>34</v>
      </c>
      <c r="F13" s="2">
        <v>20</v>
      </c>
      <c r="G13" s="3">
        <v>7.0000000000000007E-2</v>
      </c>
      <c r="H13" s="8" t="str">
        <f>IF(D13=1,"남성","여성")</f>
        <v>남성</v>
      </c>
      <c r="I13" s="12">
        <f>F13*IF(B13="라면",5500,IF(B13="과자",6500,7700))</f>
        <v>110000</v>
      </c>
      <c r="J13" s="12">
        <f>I13*G13</f>
        <v>7700.0000000000009</v>
      </c>
      <c r="K13" s="12">
        <f>I13-J13</f>
        <v>102300</v>
      </c>
    </row>
    <row r="14" spans="2:11" x14ac:dyDescent="0.4">
      <c r="B14" s="8" t="s">
        <v>1</v>
      </c>
      <c r="C14" s="8" t="s">
        <v>20</v>
      </c>
      <c r="D14" s="2">
        <v>1</v>
      </c>
      <c r="E14" s="2">
        <v>18</v>
      </c>
      <c r="F14" s="2">
        <v>16</v>
      </c>
      <c r="G14" s="3">
        <v>0.02</v>
      </c>
      <c r="H14" s="8" t="str">
        <f>IF(D14=1,"남성","여성")</f>
        <v>남성</v>
      </c>
      <c r="I14" s="12">
        <f>F14*IF(B14="라면",5500,IF(B14="과자",6500,7700))</f>
        <v>88000</v>
      </c>
      <c r="J14" s="12">
        <f>I14*G14</f>
        <v>1760</v>
      </c>
      <c r="K14" s="12">
        <f>I14-J14</f>
        <v>86240</v>
      </c>
    </row>
    <row r="15" spans="2:11" x14ac:dyDescent="0.4">
      <c r="B15" s="8" t="s">
        <v>1</v>
      </c>
      <c r="C15" s="8" t="s">
        <v>7</v>
      </c>
      <c r="D15" s="2">
        <v>1</v>
      </c>
      <c r="E15" s="2">
        <v>26</v>
      </c>
      <c r="F15" s="2">
        <v>15</v>
      </c>
      <c r="G15" s="3">
        <v>0.05</v>
      </c>
      <c r="H15" s="8" t="str">
        <f>IF(D15=1,"남성","여성")</f>
        <v>남성</v>
      </c>
      <c r="I15" s="12">
        <f>F15*IF(B15="라면",5500,IF(B15="과자",6500,7700))</f>
        <v>82500</v>
      </c>
      <c r="J15" s="12">
        <f>I15*G15</f>
        <v>4125</v>
      </c>
      <c r="K15" s="12">
        <f>I15-J15</f>
        <v>78375</v>
      </c>
    </row>
    <row r="16" spans="2:11" x14ac:dyDescent="0.4">
      <c r="B16" s="8" t="s">
        <v>2</v>
      </c>
      <c r="C16" s="8" t="s">
        <v>23</v>
      </c>
      <c r="D16" s="2">
        <v>1</v>
      </c>
      <c r="E16" s="2">
        <v>38</v>
      </c>
      <c r="F16" s="2">
        <v>12</v>
      </c>
      <c r="G16" s="3">
        <v>7.0000000000000007E-2</v>
      </c>
      <c r="H16" s="8" t="str">
        <f>IF(D16=1,"남성","여성")</f>
        <v>남성</v>
      </c>
      <c r="I16" s="12">
        <f>F16*IF(B16="라면",5500,IF(B16="과자",6500,7700))</f>
        <v>78000</v>
      </c>
      <c r="J16" s="12">
        <f>I16*G16</f>
        <v>5460.0000000000009</v>
      </c>
      <c r="K16" s="12">
        <f>I16-J16</f>
        <v>72540</v>
      </c>
    </row>
    <row r="17" spans="2:11" x14ac:dyDescent="0.4">
      <c r="B17" s="4" t="s">
        <v>37</v>
      </c>
      <c r="C17" s="4"/>
      <c r="D17" s="4"/>
      <c r="E17" s="4"/>
      <c r="F17" s="4"/>
      <c r="G17" s="4"/>
      <c r="H17" s="4"/>
      <c r="I17" s="12">
        <f>AVERAGE(I5:I16)</f>
        <v>170983.33333333334</v>
      </c>
      <c r="J17" s="12">
        <f t="shared" ref="J17:K17" si="0">AVERAGE(J5:J16)</f>
        <v>12466.666666666666</v>
      </c>
      <c r="K17" s="12">
        <f t="shared" si="0"/>
        <v>158516.66666666666</v>
      </c>
    </row>
    <row r="18" spans="2:11" x14ac:dyDescent="0.4">
      <c r="B18" s="4" t="s">
        <v>38</v>
      </c>
      <c r="C18" s="4"/>
      <c r="D18" s="4"/>
      <c r="E18" s="4"/>
      <c r="F18" s="4"/>
      <c r="G18" s="4"/>
      <c r="H18" s="4"/>
      <c r="I18" s="4"/>
      <c r="J18" s="4"/>
      <c r="K18" s="12">
        <f>SUMIFS(I5:I16,F5:F16,"&lt;20")</f>
        <v>320000</v>
      </c>
    </row>
    <row r="19" spans="2:11" x14ac:dyDescent="0.4">
      <c r="B19" s="7" t="s">
        <v>42</v>
      </c>
      <c r="C19" s="4"/>
      <c r="D19" s="4"/>
      <c r="E19" s="4"/>
      <c r="F19" s="4"/>
      <c r="G19" s="4"/>
      <c r="H19" s="4"/>
      <c r="I19" s="4"/>
      <c r="J19" s="4"/>
      <c r="K19" s="4"/>
    </row>
    <row r="20" spans="2:11" x14ac:dyDescent="0.4">
      <c r="B20" s="4" t="s">
        <v>39</v>
      </c>
      <c r="C20" s="4"/>
      <c r="D20" s="4"/>
      <c r="E20" s="4"/>
      <c r="F20" s="4"/>
      <c r="G20" s="4"/>
      <c r="H20" s="4"/>
      <c r="I20" s="4"/>
      <c r="J20" s="4"/>
      <c r="K20" s="8" t="str">
        <f>COUNTIF(C5:C16,"*영*")&amp;"명"</f>
        <v>4명</v>
      </c>
    </row>
    <row r="21" spans="2:11" x14ac:dyDescent="0.4">
      <c r="B21" s="7" t="s">
        <v>43</v>
      </c>
      <c r="C21" s="4"/>
      <c r="D21" s="4"/>
      <c r="E21" s="4"/>
      <c r="F21" s="4"/>
      <c r="G21" s="4"/>
      <c r="H21" s="4"/>
      <c r="I21" s="4"/>
      <c r="J21" s="4"/>
      <c r="K21" s="4"/>
    </row>
    <row r="22" spans="2:11" x14ac:dyDescent="0.4">
      <c r="B22" s="4" t="s">
        <v>40</v>
      </c>
      <c r="C22" s="4"/>
      <c r="D22" s="4"/>
      <c r="E22" s="4"/>
      <c r="F22" s="4"/>
      <c r="G22" s="4"/>
      <c r="H22" s="4"/>
      <c r="I22" s="4"/>
      <c r="J22" s="4"/>
      <c r="K22" s="12">
        <f>SUMIFS(K5:K16,J5:J16,"&gt;=10000",J5:J16,"&lt;20000")</f>
        <v>807455</v>
      </c>
    </row>
    <row r="23" spans="2:11" x14ac:dyDescent="0.4">
      <c r="B23" s="7" t="s">
        <v>44</v>
      </c>
      <c r="C23" s="4"/>
      <c r="D23" s="4"/>
      <c r="E23" s="4"/>
      <c r="F23" s="4"/>
      <c r="G23" s="4"/>
      <c r="H23" s="4"/>
      <c r="I23" s="4"/>
      <c r="J23" s="4"/>
      <c r="K23" s="4"/>
    </row>
  </sheetData>
  <sortState xmlns:xlrd2="http://schemas.microsoft.com/office/spreadsheetml/2017/richdata2" ref="B5:K16">
    <sortCondition descending="1" ref="H5:H16"/>
    <sortCondition descending="1" ref="K5:K16"/>
  </sortState>
  <mergeCells count="8">
    <mergeCell ref="B23:K23"/>
    <mergeCell ref="B1:K3"/>
    <mergeCell ref="B17:H17"/>
    <mergeCell ref="B19:K19"/>
    <mergeCell ref="B18:J18"/>
    <mergeCell ref="B20:J20"/>
    <mergeCell ref="B21:K21"/>
    <mergeCell ref="B22:J22"/>
  </mergeCells>
  <phoneticPr fontId="1" type="noConversion"/>
  <pageMargins left="0.70866141732283472" right="0.70866141732283472" top="2.3622047244094491" bottom="0.74803149606299213" header="0.31496062992125984" footer="0.31496062992125984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cp:lastPrinted>2026-06-22T14:05:43Z</cp:lastPrinted>
  <dcterms:created xsi:type="dcterms:W3CDTF">2026-06-22T12:50:11Z</dcterms:created>
  <dcterms:modified xsi:type="dcterms:W3CDTF">2026-06-22T14:05:53Z</dcterms:modified>
</cp:coreProperties>
</file>