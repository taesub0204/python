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91C924B2-E1AF-49EA-980F-FCF24F291316}" xr6:coauthVersionLast="47" xr6:coauthVersionMax="47" xr10:uidLastSave="{00000000-0000-0000-0000-000000000000}"/>
  <bookViews>
    <workbookView xWindow="12852" yWindow="-24" windowWidth="23256" windowHeight="12456" xr2:uid="{CD021DFC-2D4F-485A-BCDA-D05C92B3A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 a="1"/>
  <c r="F26" i="1" s="1"/>
  <c r="F25" i="1"/>
  <c r="D24" i="1"/>
  <c r="E24" i="1"/>
  <c r="F24" i="1"/>
  <c r="C24" i="1"/>
  <c r="E5" i="1"/>
  <c r="F5" i="1" s="1"/>
  <c r="G5" i="1" s="1"/>
  <c r="E6" i="1"/>
  <c r="F6" i="1"/>
  <c r="G6" i="1"/>
  <c r="E7" i="1"/>
  <c r="G7" i="1"/>
  <c r="E8" i="1"/>
  <c r="F8" i="1"/>
  <c r="G8" i="1"/>
  <c r="E9" i="1"/>
  <c r="F9" i="1" s="1"/>
  <c r="G9" i="1" s="1"/>
  <c r="E10" i="1"/>
  <c r="F10" i="1"/>
  <c r="G10" i="1"/>
  <c r="E11" i="1"/>
  <c r="G11" i="1"/>
  <c r="E12" i="1"/>
  <c r="F12" i="1"/>
  <c r="G12" i="1"/>
  <c r="E13" i="1"/>
  <c r="G13" i="1" s="1"/>
  <c r="E14" i="1"/>
  <c r="G14" i="1"/>
  <c r="E15" i="1"/>
  <c r="F15" i="1"/>
  <c r="G15" i="1"/>
  <c r="E16" i="1"/>
  <c r="F16" i="1"/>
  <c r="G16" i="1"/>
  <c r="E17" i="1"/>
  <c r="F17" i="1" s="1"/>
  <c r="G17" i="1" s="1"/>
  <c r="E18" i="1"/>
  <c r="F18" i="1"/>
  <c r="G18" i="1"/>
  <c r="E19" i="1"/>
  <c r="F19" i="1"/>
  <c r="G19" i="1"/>
  <c r="E20" i="1"/>
  <c r="F20" i="1"/>
  <c r="G20" i="1"/>
  <c r="E21" i="1"/>
  <c r="F21" i="1" s="1"/>
  <c r="G21" i="1" s="1"/>
  <c r="E22" i="1"/>
  <c r="G22" i="1"/>
  <c r="E23" i="1"/>
  <c r="F23" i="1"/>
  <c r="G23" i="1"/>
  <c r="G4" i="1"/>
  <c r="F4" i="1"/>
  <c r="E4" i="1"/>
  <c r="G24" i="1" l="1"/>
  <c r="H21" i="1"/>
  <c r="H17" i="1"/>
  <c r="H9" i="1"/>
  <c r="H13" i="1"/>
  <c r="H5" i="1"/>
  <c r="H6" i="1"/>
  <c r="H18" i="1"/>
  <c r="H11" i="1"/>
  <c r="H23" i="1"/>
  <c r="H12" i="1"/>
  <c r="H20" i="1"/>
  <c r="H10" i="1"/>
  <c r="H14" i="1"/>
  <c r="H22" i="1"/>
  <c r="H7" i="1"/>
  <c r="H15" i="1"/>
  <c r="H19" i="1"/>
  <c r="H4" i="1"/>
  <c r="H8" i="1"/>
  <c r="H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<sst xmlns="http://schemas.openxmlformats.org/spreadsheetml/2006/main" count="34" uniqueCount="34">
  <si>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물품 재고 현황</t>
    <phoneticPr fontId="1" type="noConversion"/>
  </si>
  <si>
    <t>제품코드</t>
    <phoneticPr fontId="1" type="noConversion"/>
  </si>
  <si>
    <t xml:space="preserve">단가 </t>
    <phoneticPr fontId="1" type="noConversion"/>
  </si>
  <si>
    <t>전월주문량</t>
    <phoneticPr fontId="1" type="noConversion"/>
  </si>
  <si>
    <t>월말재고량</t>
    <phoneticPr fontId="1" type="noConversion"/>
  </si>
  <si>
    <t>재고율</t>
    <phoneticPr fontId="1" type="noConversion"/>
  </si>
  <si>
    <t>주문량</t>
    <phoneticPr fontId="1" type="noConversion"/>
  </si>
  <si>
    <t>주문금액</t>
    <phoneticPr fontId="1" type="noConversion"/>
  </si>
  <si>
    <t>순위</t>
    <phoneticPr fontId="1" type="noConversion"/>
  </si>
  <si>
    <t>AF</t>
    <phoneticPr fontId="1" type="noConversion"/>
  </si>
  <si>
    <t>AS</t>
    <phoneticPr fontId="1" type="noConversion"/>
  </si>
  <si>
    <t>DK</t>
    <phoneticPr fontId="1" type="noConversion"/>
  </si>
  <si>
    <t>WS</t>
    <phoneticPr fontId="1" type="noConversion"/>
  </si>
  <si>
    <t>SC</t>
    <phoneticPr fontId="1" type="noConversion"/>
  </si>
  <si>
    <t>AZ</t>
    <phoneticPr fontId="1" type="noConversion"/>
  </si>
  <si>
    <t>WQ</t>
    <phoneticPr fontId="1" type="noConversion"/>
  </si>
  <si>
    <t>XD</t>
    <phoneticPr fontId="1" type="noConversion"/>
  </si>
  <si>
    <t>SF</t>
    <phoneticPr fontId="1" type="noConversion"/>
  </si>
  <si>
    <t>AO</t>
    <phoneticPr fontId="1" type="noConversion"/>
  </si>
  <si>
    <t>FZ</t>
    <phoneticPr fontId="1" type="noConversion"/>
  </si>
  <si>
    <t>SA</t>
    <phoneticPr fontId="1" type="noConversion"/>
  </si>
  <si>
    <t>SS</t>
    <phoneticPr fontId="1" type="noConversion"/>
  </si>
  <si>
    <t>WA</t>
    <phoneticPr fontId="1" type="noConversion"/>
  </si>
  <si>
    <t>SD</t>
    <phoneticPr fontId="1" type="noConversion"/>
  </si>
  <si>
    <t>DS</t>
    <phoneticPr fontId="1" type="noConversion"/>
  </si>
  <si>
    <t>SZ</t>
    <phoneticPr fontId="1" type="noConversion"/>
  </si>
  <si>
    <t>XS</t>
    <phoneticPr fontId="1" type="noConversion"/>
  </si>
  <si>
    <t>ZA</t>
    <phoneticPr fontId="1" type="noConversion"/>
  </si>
  <si>
    <t>ZZ</t>
    <phoneticPr fontId="1" type="noConversion"/>
  </si>
  <si>
    <t>평균</t>
    <phoneticPr fontId="1" type="noConversion"/>
  </si>
  <si>
    <t>제품코드가 "S"를 포함하고 재고율이 30% 이하인 제품들의 합</t>
    <phoneticPr fontId="1" type="noConversion"/>
  </si>
  <si>
    <t>제품코드가 "W" 또는 "X"를 포함하는 제품들의 합</t>
    <phoneticPr fontId="1" type="noConversion"/>
  </si>
  <si>
    <t>단가가 20000 이상 30000 미만인 제품들의 합</t>
    <phoneticPr fontId="1" type="noConversion"/>
  </si>
  <si>
    <t>주문금액이 2000000 이상인 제품들의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</si>
</sst>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7ABE-3B72-4B8A-8B2A-503AF3F6006F}">
  <dimension ref="A1:H28"/>
  <sheetViews>
    <sheetView tabSelected="1" topLeftCell="A10" workbookViewId="0">
      <selection activeCell="F30" sqref="F30"/>
    </sheetView>
  </sheetViews>
  <sheetFormatPr defaultRowHeight="17" x14ac:dyDescent="0.45"/>
  <cols>
    <col min="3" max="3" width="14.58203125" customWidth="1"/>
    <col min="4" max="4" width="12.6640625" customWidth="1"/>
    <col min="6" max="6" width="13.75" customWidth="1"/>
  </cols>
  <sheetData>
    <row r="1" spans="1:8" x14ac:dyDescent="0.45">
      <c r="A1" t="s">
        <v>0</v>
      </c>
    </row>
    <row r="3" spans="1:8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45">
      <c r="A4" t="s">
        <v>9</v>
      </c>
      <c r="B4">
        <v>15400</v>
      </c>
      <c r="C4">
        <v>140</v>
      </c>
      <c r="D4">
        <v>100</v>
      </c>
      <c r="E4">
        <f>D4/C4</f>
        <v>0.7142857142857143</v>
      </c>
      <c r="F4">
        <f>IF(E4 &gt;= 60%,C4*50%,C4*100%)</f>
        <v>70</v>
      </c>
      <c r="G4">
        <f>ROUND(B4*F4,-3)</f>
        <v>1078000</v>
      </c>
      <c r="H4">
        <f>RANK(G4,$G$4:$G$23)</f>
        <v>17</v>
      </c>
    </row>
    <row r="5" spans="1:8" x14ac:dyDescent="0.45">
      <c r="A5" t="s">
        <v>10</v>
      </c>
      <c r="B5">
        <v>15000</v>
      </c>
      <c r="C5">
        <v>140</v>
      </c>
      <c r="D5">
        <v>120</v>
      </c>
      <c r="E5">
        <f t="shared" ref="E5:E23" si="0">D5/C5</f>
        <v>0.8571428571428571</v>
      </c>
      <c r="F5">
        <f t="shared" ref="F5:F23" si="1">IF(E5 &gt;= 60%,C5*50%,C5*100%)</f>
        <v>70</v>
      </c>
      <c r="G5">
        <f t="shared" ref="G5:G23" si="2">ROUND(B5*F5,-3)</f>
        <v>1050000</v>
      </c>
      <c r="H5">
        <f t="shared" ref="H5:H23" si="3">RANK(G5,$G$4:$G$23)</f>
        <v>18</v>
      </c>
    </row>
    <row r="6" spans="1:8" x14ac:dyDescent="0.45">
      <c r="A6" t="s">
        <v>11</v>
      </c>
      <c r="B6">
        <v>21300</v>
      </c>
      <c r="C6">
        <v>150</v>
      </c>
      <c r="D6">
        <v>120</v>
      </c>
      <c r="E6">
        <f t="shared" si="0"/>
        <v>0.8</v>
      </c>
      <c r="F6">
        <f t="shared" si="1"/>
        <v>75</v>
      </c>
      <c r="G6">
        <f t="shared" si="2"/>
        <v>1598000</v>
      </c>
      <c r="H6">
        <f t="shared" si="3"/>
        <v>13</v>
      </c>
    </row>
    <row r="7" spans="1:8" x14ac:dyDescent="0.45">
      <c r="A7" t="s">
        <v>12</v>
      </c>
      <c r="B7">
        <v>7500</v>
      </c>
      <c r="C7">
        <v>160</v>
      </c>
      <c r="D7">
        <v>50</v>
      </c>
      <c r="E7">
        <f t="shared" si="0"/>
        <v>0.3125</v>
      </c>
      <c r="F7">
        <v>112</v>
      </c>
      <c r="G7">
        <f t="shared" si="2"/>
        <v>840000</v>
      </c>
      <c r="H7">
        <f t="shared" si="3"/>
        <v>19</v>
      </c>
    </row>
    <row r="8" spans="1:8" x14ac:dyDescent="0.45">
      <c r="A8" t="s">
        <v>13</v>
      </c>
      <c r="B8">
        <v>17000</v>
      </c>
      <c r="C8">
        <v>120</v>
      </c>
      <c r="D8">
        <v>30</v>
      </c>
      <c r="E8">
        <f t="shared" si="0"/>
        <v>0.25</v>
      </c>
      <c r="F8">
        <f t="shared" si="1"/>
        <v>120</v>
      </c>
      <c r="G8">
        <f t="shared" si="2"/>
        <v>2040000</v>
      </c>
      <c r="H8">
        <f t="shared" si="3"/>
        <v>10</v>
      </c>
    </row>
    <row r="9" spans="1:8" x14ac:dyDescent="0.45">
      <c r="A9" t="s">
        <v>14</v>
      </c>
      <c r="B9">
        <v>12000</v>
      </c>
      <c r="C9">
        <v>250</v>
      </c>
      <c r="D9">
        <v>180</v>
      </c>
      <c r="E9">
        <f t="shared" si="0"/>
        <v>0.72</v>
      </c>
      <c r="F9">
        <f t="shared" si="1"/>
        <v>125</v>
      </c>
      <c r="G9">
        <f t="shared" si="2"/>
        <v>1500000</v>
      </c>
      <c r="H9">
        <f t="shared" si="3"/>
        <v>15</v>
      </c>
    </row>
    <row r="10" spans="1:8" x14ac:dyDescent="0.45">
      <c r="A10" t="s">
        <v>15</v>
      </c>
      <c r="B10">
        <v>12300</v>
      </c>
      <c r="C10">
        <v>125</v>
      </c>
      <c r="D10">
        <v>20</v>
      </c>
      <c r="E10">
        <f t="shared" si="0"/>
        <v>0.16</v>
      </c>
      <c r="F10">
        <f t="shared" si="1"/>
        <v>125</v>
      </c>
      <c r="G10">
        <f t="shared" si="2"/>
        <v>1538000</v>
      </c>
      <c r="H10">
        <f t="shared" si="3"/>
        <v>14</v>
      </c>
    </row>
    <row r="11" spans="1:8" x14ac:dyDescent="0.45">
      <c r="A11" t="s">
        <v>16</v>
      </c>
      <c r="B11">
        <v>15300</v>
      </c>
      <c r="C11">
        <v>325</v>
      </c>
      <c r="D11">
        <v>120</v>
      </c>
      <c r="E11">
        <f t="shared" si="0"/>
        <v>0.36923076923076925</v>
      </c>
      <c r="F11">
        <v>227.5</v>
      </c>
      <c r="G11">
        <f t="shared" si="2"/>
        <v>3481000</v>
      </c>
      <c r="H11">
        <f t="shared" si="3"/>
        <v>5</v>
      </c>
    </row>
    <row r="12" spans="1:8" x14ac:dyDescent="0.45">
      <c r="A12" t="s">
        <v>17</v>
      </c>
      <c r="B12">
        <v>15000</v>
      </c>
      <c r="C12">
        <v>124</v>
      </c>
      <c r="D12">
        <v>25</v>
      </c>
      <c r="E12">
        <f t="shared" si="0"/>
        <v>0.20161290322580644</v>
      </c>
      <c r="F12">
        <f t="shared" si="1"/>
        <v>124</v>
      </c>
      <c r="G12">
        <f t="shared" si="2"/>
        <v>1860000</v>
      </c>
      <c r="H12">
        <f t="shared" si="3"/>
        <v>11</v>
      </c>
    </row>
    <row r="13" spans="1:8" x14ac:dyDescent="0.45">
      <c r="A13" t="s">
        <v>18</v>
      </c>
      <c r="B13">
        <v>20000</v>
      </c>
      <c r="C13">
        <v>251</v>
      </c>
      <c r="D13">
        <v>109</v>
      </c>
      <c r="E13">
        <f t="shared" si="0"/>
        <v>0.43426294820717132</v>
      </c>
      <c r="F13">
        <v>175.7</v>
      </c>
      <c r="G13">
        <f t="shared" si="2"/>
        <v>3514000</v>
      </c>
      <c r="H13">
        <f t="shared" si="3"/>
        <v>4</v>
      </c>
    </row>
    <row r="14" spans="1:8" x14ac:dyDescent="0.45">
      <c r="A14" t="s">
        <v>19</v>
      </c>
      <c r="B14">
        <v>18900</v>
      </c>
      <c r="C14">
        <v>95</v>
      </c>
      <c r="D14">
        <v>21</v>
      </c>
      <c r="E14">
        <f t="shared" si="0"/>
        <v>0.22105263157894736</v>
      </c>
      <c r="F14">
        <v>95</v>
      </c>
      <c r="G14">
        <f t="shared" si="2"/>
        <v>1796000</v>
      </c>
      <c r="H14">
        <f t="shared" si="3"/>
        <v>12</v>
      </c>
    </row>
    <row r="15" spans="1:8" x14ac:dyDescent="0.45">
      <c r="A15" t="s">
        <v>20</v>
      </c>
      <c r="B15">
        <v>14500</v>
      </c>
      <c r="C15">
        <v>231</v>
      </c>
      <c r="D15">
        <v>21</v>
      </c>
      <c r="E15">
        <f t="shared" si="0"/>
        <v>9.0909090909090912E-2</v>
      </c>
      <c r="F15">
        <f t="shared" si="1"/>
        <v>231</v>
      </c>
      <c r="G15">
        <f t="shared" si="2"/>
        <v>3350000</v>
      </c>
      <c r="H15">
        <f t="shared" si="3"/>
        <v>7</v>
      </c>
    </row>
    <row r="16" spans="1:8" x14ac:dyDescent="0.45">
      <c r="A16" t="s">
        <v>21</v>
      </c>
      <c r="B16">
        <v>15400</v>
      </c>
      <c r="C16">
        <v>185</v>
      </c>
      <c r="D16">
        <v>30</v>
      </c>
      <c r="E16">
        <f t="shared" si="0"/>
        <v>0.16216216216216217</v>
      </c>
      <c r="F16">
        <f t="shared" si="1"/>
        <v>185</v>
      </c>
      <c r="G16">
        <f t="shared" si="2"/>
        <v>2849000</v>
      </c>
      <c r="H16">
        <f t="shared" si="3"/>
        <v>8</v>
      </c>
    </row>
    <row r="17" spans="1:8" x14ac:dyDescent="0.45">
      <c r="A17" t="s">
        <v>22</v>
      </c>
      <c r="B17">
        <v>13000</v>
      </c>
      <c r="C17">
        <v>320</v>
      </c>
      <c r="D17">
        <v>61</v>
      </c>
      <c r="E17">
        <f t="shared" si="0"/>
        <v>0.19062499999999999</v>
      </c>
      <c r="F17">
        <f t="shared" si="1"/>
        <v>320</v>
      </c>
      <c r="G17">
        <f t="shared" si="2"/>
        <v>4160000</v>
      </c>
      <c r="H17">
        <f t="shared" si="3"/>
        <v>3</v>
      </c>
    </row>
    <row r="18" spans="1:8" x14ac:dyDescent="0.45">
      <c r="A18" t="s">
        <v>23</v>
      </c>
      <c r="B18">
        <v>9000</v>
      </c>
      <c r="C18">
        <v>175</v>
      </c>
      <c r="D18">
        <v>200</v>
      </c>
      <c r="E18">
        <f t="shared" si="0"/>
        <v>1.1428571428571428</v>
      </c>
      <c r="F18">
        <f t="shared" si="1"/>
        <v>87.5</v>
      </c>
      <c r="G18">
        <f t="shared" si="2"/>
        <v>788000</v>
      </c>
      <c r="H18">
        <f t="shared" si="3"/>
        <v>20</v>
      </c>
    </row>
    <row r="19" spans="1:8" x14ac:dyDescent="0.45">
      <c r="A19" t="s">
        <v>24</v>
      </c>
      <c r="B19">
        <v>9000</v>
      </c>
      <c r="C19">
        <v>251</v>
      </c>
      <c r="D19">
        <v>220</v>
      </c>
      <c r="E19">
        <f t="shared" si="0"/>
        <v>0.87649402390438247</v>
      </c>
      <c r="F19">
        <f t="shared" si="1"/>
        <v>125.5</v>
      </c>
      <c r="G19">
        <f t="shared" si="2"/>
        <v>1130000</v>
      </c>
      <c r="H19">
        <f t="shared" si="3"/>
        <v>16</v>
      </c>
    </row>
    <row r="20" spans="1:8" x14ac:dyDescent="0.45">
      <c r="A20" t="s">
        <v>25</v>
      </c>
      <c r="B20">
        <v>12000</v>
      </c>
      <c r="C20">
        <v>200</v>
      </c>
      <c r="D20">
        <v>10</v>
      </c>
      <c r="E20">
        <f t="shared" si="0"/>
        <v>0.05</v>
      </c>
      <c r="F20">
        <f t="shared" si="1"/>
        <v>200</v>
      </c>
      <c r="G20">
        <f t="shared" si="2"/>
        <v>2400000</v>
      </c>
      <c r="H20">
        <f t="shared" si="3"/>
        <v>9</v>
      </c>
    </row>
    <row r="21" spans="1:8" x14ac:dyDescent="0.45">
      <c r="A21" t="s">
        <v>26</v>
      </c>
      <c r="B21">
        <v>23300</v>
      </c>
      <c r="C21">
        <v>240</v>
      </c>
      <c r="D21">
        <v>50</v>
      </c>
      <c r="E21">
        <f t="shared" si="0"/>
        <v>0.20833333333333334</v>
      </c>
      <c r="F21">
        <f t="shared" si="1"/>
        <v>240</v>
      </c>
      <c r="G21">
        <f t="shared" si="2"/>
        <v>5592000</v>
      </c>
      <c r="H21">
        <f t="shared" si="3"/>
        <v>2</v>
      </c>
    </row>
    <row r="22" spans="1:8" x14ac:dyDescent="0.45">
      <c r="A22" t="s">
        <v>27</v>
      </c>
      <c r="B22">
        <v>14000</v>
      </c>
      <c r="C22">
        <v>350</v>
      </c>
      <c r="D22">
        <v>120</v>
      </c>
      <c r="E22">
        <f t="shared" si="0"/>
        <v>0.34285714285714286</v>
      </c>
      <c r="F22">
        <v>245</v>
      </c>
      <c r="G22">
        <f t="shared" si="2"/>
        <v>3430000</v>
      </c>
      <c r="H22">
        <f t="shared" si="3"/>
        <v>6</v>
      </c>
    </row>
    <row r="23" spans="1:8" x14ac:dyDescent="0.45">
      <c r="A23" t="s">
        <v>28</v>
      </c>
      <c r="B23">
        <v>34000</v>
      </c>
      <c r="C23">
        <v>250</v>
      </c>
      <c r="D23">
        <v>70</v>
      </c>
      <c r="E23">
        <f t="shared" si="0"/>
        <v>0.28000000000000003</v>
      </c>
      <c r="F23">
        <f t="shared" si="1"/>
        <v>250</v>
      </c>
      <c r="G23">
        <f t="shared" si="2"/>
        <v>8500000</v>
      </c>
      <c r="H23">
        <f t="shared" si="3"/>
        <v>1</v>
      </c>
    </row>
    <row r="24" spans="1:8" x14ac:dyDescent="0.45">
      <c r="A24" t="s">
        <v>29</v>
      </c>
      <c r="C24">
        <f>AVERAGE(C4:C23)</f>
        <v>204.1</v>
      </c>
      <c r="D24">
        <f t="shared" ref="D24:G24" si="4">AVERAGE(D4:D23)</f>
        <v>83.85</v>
      </c>
      <c r="E24">
        <f t="shared" si="4"/>
        <v>0.41921628598472588</v>
      </c>
      <c r="F24">
        <f t="shared" si="4"/>
        <v>160.16</v>
      </c>
      <c r="G24">
        <f t="shared" si="4"/>
        <v>2624700</v>
      </c>
    </row>
    <row r="25" spans="1:8" x14ac:dyDescent="0.45">
      <c r="A25" t="s">
        <v>30</v>
      </c>
      <c r="F25">
        <f>SUMIFS(F4:F23,$A$4:$A$23,"*S*",E4:$E$23,"&lt;=30%")</f>
        <v>1100</v>
      </c>
    </row>
    <row r="26" spans="1:8" x14ac:dyDescent="0.45">
      <c r="A26" t="s">
        <v>31</v>
      </c>
      <c r="F26" cm="1">
        <f t="array" ref="F26">SUMPRODUCT(ISNUMBER(FIND("W",$A$4:$A$23))+ISNUMBER(FIND("X",$A$4:$A$23)),F4:F23)</f>
        <v>1024.5</v>
      </c>
    </row>
    <row r="27" spans="1:8" x14ac:dyDescent="0.45">
      <c r="A27" t="s">
        <v>32</v>
      </c>
    </row>
    <row r="28" spans="1:8" x14ac:dyDescent="0.45">
      <c r="A28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2026-06-04T13:28:17Z</dcterms:created>
  <dcterms:modified xsi:type="dcterms:W3CDTF">2026-06-10T15:12:35Z</dcterms:modified>
</cp:coreProperties>
</file>